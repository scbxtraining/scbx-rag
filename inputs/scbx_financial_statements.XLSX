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https://bcgcloudasp-my.sharepoint.com/personal/yang_xiaoyu_bcg_com/Documents/Documents/project/SCBX/rag/inputs/"/>
    </mc:Choice>
  </mc:AlternateContent>
  <xr:revisionPtr revIDLastSave="99" documentId="11_086A374ABB63CA10C0435BA58F3193BD55D721F0" xr6:coauthVersionLast="47" xr6:coauthVersionMax="47" xr10:uidLastSave="{B929B3DC-E4F2-B94E-BBE1-D48505994DEE}"/>
  <bookViews>
    <workbookView xWindow="-1400" yWindow="-21600" windowWidth="38400" windowHeight="21600" tabRatio="843" xr2:uid="{00000000-000D-0000-FFFF-FFFF00000000}"/>
  </bookViews>
  <sheets>
    <sheet name="asset" sheetId="14" r:id="rId1"/>
    <sheet name="liabilities" sheetId="15" r:id="rId2"/>
    <sheet name="shareholder_equity" sheetId="1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5" l="1"/>
  <c r="B11" i="15"/>
</calcChain>
</file>

<file path=xl/sharedStrings.xml><?xml version="1.0" encoding="utf-8"?>
<sst xmlns="http://schemas.openxmlformats.org/spreadsheetml/2006/main" count="45" uniqueCount="40">
  <si>
    <t>Cash</t>
  </si>
  <si>
    <t>Interbank and money market items, net</t>
  </si>
  <si>
    <t>Financial assets measured at fair value through profit or loss</t>
  </si>
  <si>
    <t>Derivative assets</t>
  </si>
  <si>
    <t>Loans to customers and accrued interest receivables, net</t>
  </si>
  <si>
    <t>Properties for sale, net</t>
  </si>
  <si>
    <t>Investment properties, net</t>
  </si>
  <si>
    <t>Premises and equipment, net</t>
  </si>
  <si>
    <t>Goodwill and other intangible assets, net</t>
  </si>
  <si>
    <t>Deferred tax assets</t>
  </si>
  <si>
    <t xml:space="preserve">Other assets, net  </t>
  </si>
  <si>
    <t>Deposits</t>
  </si>
  <si>
    <t>Interbank and money market items</t>
  </si>
  <si>
    <t>Liabilities payable on demand</t>
  </si>
  <si>
    <t>Financial liabilities measured at fair value through profit or loss</t>
  </si>
  <si>
    <t>Derivative liabilities</t>
  </si>
  <si>
    <t>Debt issued and borrowings</t>
  </si>
  <si>
    <t>Provisions</t>
  </si>
  <si>
    <t>Deferred tax liabilities</t>
  </si>
  <si>
    <t xml:space="preserve">Other liabilities  </t>
  </si>
  <si>
    <t>Total liabilities</t>
  </si>
  <si>
    <t>Shareholders’ equity</t>
  </si>
  <si>
    <t>Premium on common shares</t>
  </si>
  <si>
    <t>Other reserves</t>
  </si>
  <si>
    <t>Total owners of the company</t>
  </si>
  <si>
    <t>Non-controlling interests</t>
  </si>
  <si>
    <t>Total shareholders’ equity</t>
  </si>
  <si>
    <t>Asset Name</t>
  </si>
  <si>
    <t>Value as of 2024 June 30 (in thousand Baht)</t>
  </si>
  <si>
    <t>Value as of 2023 Dec 31 (in thousand Baht)</t>
  </si>
  <si>
    <t>Liabilities Name</t>
  </si>
  <si>
    <t>Authorised share capital</t>
  </si>
  <si>
    <t>Issued and paid-up share capital</t>
  </si>
  <si>
    <t>3,399,192,198 common shares of Baht 10 each</t>
  </si>
  <si>
    <t>3,367,107,286 common shares of Baht 10 each</t>
  </si>
  <si>
    <t xml:space="preserve"> 3,367,107,286 common shares of Baht 10 each</t>
  </si>
  <si>
    <t>Retained earnings - Appropriated - Legal reserve</t>
  </si>
  <si>
    <t>Retained earnings - Unappropriated</t>
  </si>
  <si>
    <t>Investments (net)</t>
  </si>
  <si>
    <t>Investments in subsidiaries (net)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</si>
</sst>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_-* #,##0.00_-;\-* #,##0.00_-;_-* &quot;-&quot;??_-;_-@_-"/>
    <numFmt numFmtId="166" formatCode="#,##0\ ;\(#,##0\);&quot;-&quot;"/>
    <numFmt numFmtId="168" formatCode="_(* #,##0_);_(* \(#,##0\);_(* &quot;-&quot;??_);_(@_)"/>
  </numFmts>
  <fonts count="9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sz val="14"/>
      <name val="Cordia New"/>
      <family val="2"/>
    </font>
    <font>
      <sz val="15"/>
      <name val="Angsana New"/>
      <family val="1"/>
    </font>
    <font>
      <sz val="10"/>
      <name val="ApFont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164" fontId="4" fillId="0" borderId="0" applyFont="0" applyFill="0" applyBorder="0" applyAlignment="0" applyProtection="0"/>
    <xf numFmtId="0" fontId="2" fillId="0" borderId="0"/>
    <xf numFmtId="0" fontId="5" fillId="0" borderId="0"/>
    <xf numFmtId="4" fontId="6" fillId="0" borderId="0" applyFont="0" applyFill="0" applyBorder="0" applyAlignment="0" applyProtection="0"/>
    <xf numFmtId="0" fontId="7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1" fillId="0" borderId="0" xfId="1" applyFont="1" applyAlignment="1">
      <alignment vertical="center"/>
    </xf>
    <xf numFmtId="0" fontId="2" fillId="0" borderId="0" xfId="1" applyAlignment="1">
      <alignment vertical="center"/>
    </xf>
    <xf numFmtId="41" fontId="2" fillId="0" borderId="0" xfId="6" applyNumberFormat="1" applyFont="1" applyFill="1" applyAlignment="1">
      <alignment vertical="center"/>
    </xf>
    <xf numFmtId="41" fontId="2" fillId="0" borderId="0" xfId="3" applyNumberFormat="1" applyFont="1" applyFill="1" applyAlignment="1">
      <alignment vertical="center"/>
    </xf>
    <xf numFmtId="0" fontId="2" fillId="0" borderId="0" xfId="1" applyAlignment="1">
      <alignment horizontal="left" vertical="center"/>
    </xf>
    <xf numFmtId="168" fontId="2" fillId="0" borderId="0" xfId="6" applyNumberFormat="1" applyFont="1" applyFill="1" applyAlignment="1">
      <alignment horizontal="center" vertical="center"/>
    </xf>
    <xf numFmtId="168" fontId="2" fillId="0" borderId="0" xfId="3" applyNumberFormat="1" applyFont="1" applyFill="1" applyAlignment="1">
      <alignment horizontal="center" vertical="center"/>
    </xf>
    <xf numFmtId="41" fontId="1" fillId="0" borderId="1" xfId="6" applyNumberFormat="1" applyFont="1" applyFill="1" applyBorder="1" applyAlignment="1">
      <alignment vertical="center"/>
    </xf>
    <xf numFmtId="41" fontId="1" fillId="0" borderId="0" xfId="6" applyNumberFormat="1" applyFont="1" applyFill="1" applyAlignment="1">
      <alignment vertical="center"/>
    </xf>
    <xf numFmtId="166" fontId="3" fillId="0" borderId="0" xfId="0" quotePrefix="1" applyNumberFormat="1" applyFont="1" applyAlignment="1">
      <alignment horizontal="center" vertical="center"/>
    </xf>
    <xf numFmtId="168" fontId="1" fillId="0" borderId="0" xfId="6" applyNumberFormat="1" applyFont="1" applyFill="1" applyAlignment="1">
      <alignment horizontal="center" vertical="center"/>
    </xf>
    <xf numFmtId="168" fontId="1" fillId="0" borderId="0" xfId="3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</cellXfs>
  <cellStyles count="8">
    <cellStyle name="Comma 21 5" xfId="6" xr:uid="{C1E4FCDB-9FDD-4036-AE12-C076CDF2E1F0}"/>
    <cellStyle name="Comma 3 3" xfId="3" xr:uid="{4ABF493E-72EE-4D03-8545-174B22FCFE95}"/>
    <cellStyle name="Normal" xfId="0" builtinId="0"/>
    <cellStyle name="Normal 2 3" xfId="5" xr:uid="{AFBA3005-D250-4151-989E-09A2BC430447}"/>
    <cellStyle name="Normal 2 5 4" xfId="7" xr:uid="{C72741D0-A0C2-4B23-B3FF-EEC8B069B529}"/>
    <cellStyle name="Normal 3 4 4" xfId="2" xr:uid="{AA9804E8-2B3B-464F-A068-340CC2F9B118}"/>
    <cellStyle name="ปกติ_SCBE_1Q11#3" xfId="4" xr:uid="{8E8B8654-9B33-495F-A84E-59583F0FC87B}"/>
    <cellStyle name="ปกติ_scbe2" xfId="1" xr:uid="{7707DA6F-4CBD-428F-B680-54412065E4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9F05-D4A1-424C-A760-615EFBD4F3FE}">
  <dimension ref="A1:J14"/>
  <sheetViews>
    <sheetView tabSelected="1" zoomScale="183" workbookViewId="0">
      <selection activeCell="A3" sqref="A3"/>
    </sheetView>
  </sheetViews>
  <sheetFormatPr baseColWidth="10" defaultRowHeight="15"/>
  <cols>
    <col min="1" max="1" width="49.33203125" customWidth="1"/>
    <col min="2" max="2" width="23.83203125" customWidth="1"/>
    <col min="3" max="3" width="27.6640625" customWidth="1"/>
    <col min="4" max="4" width="28.33203125" customWidth="1"/>
    <col min="5" max="5" width="23.1640625" customWidth="1"/>
    <col min="6" max="6" width="24.5" customWidth="1"/>
    <col min="14" max="14" width="17.33203125" customWidth="1"/>
    <col min="15" max="17" width="26.5" customWidth="1"/>
  </cols>
  <sheetData>
    <row r="1" spans="1:10">
      <c r="A1" t="s">
        <v>27</v>
      </c>
      <c r="B1" t="s">
        <v>28</v>
      </c>
      <c r="C1" t="s">
        <v>29</v>
      </c>
    </row>
    <row r="2" spans="1:10">
      <c r="A2" s="3" t="s">
        <v>0</v>
      </c>
      <c r="B2" s="10">
        <v>35478716</v>
      </c>
      <c r="C2" s="5">
        <v>40675704</v>
      </c>
    </row>
    <row r="3" spans="1:10">
      <c r="A3" s="6" t="s">
        <v>1</v>
      </c>
      <c r="B3" s="4">
        <v>459883199</v>
      </c>
      <c r="C3" s="5">
        <v>436797171</v>
      </c>
    </row>
    <row r="4" spans="1:10">
      <c r="A4" s="3" t="s">
        <v>2</v>
      </c>
      <c r="B4" s="4">
        <v>138367442</v>
      </c>
      <c r="C4" s="5">
        <v>92534166</v>
      </c>
    </row>
    <row r="5" spans="1:10">
      <c r="A5" s="3" t="s">
        <v>39</v>
      </c>
      <c r="B5" s="12">
        <v>1810075</v>
      </c>
      <c r="C5" s="13">
        <v>1970054</v>
      </c>
    </row>
    <row r="6" spans="1:10">
      <c r="A6" s="3" t="s">
        <v>3</v>
      </c>
      <c r="B6" s="4">
        <v>53733094</v>
      </c>
      <c r="C6" s="5">
        <v>46981694</v>
      </c>
    </row>
    <row r="7" spans="1:10">
      <c r="A7" s="3" t="s">
        <v>38</v>
      </c>
      <c r="B7" s="4">
        <v>346881082</v>
      </c>
      <c r="C7" s="5">
        <v>386162469</v>
      </c>
    </row>
    <row r="8" spans="1:10">
      <c r="A8" s="3" t="s">
        <v>4</v>
      </c>
      <c r="B8" s="4">
        <v>2312513705</v>
      </c>
      <c r="C8" s="5">
        <v>2301044123</v>
      </c>
    </row>
    <row r="9" spans="1:10">
      <c r="A9" s="3" t="s">
        <v>5</v>
      </c>
      <c r="B9" s="4">
        <v>27011483</v>
      </c>
      <c r="C9" s="5">
        <v>25930818</v>
      </c>
    </row>
    <row r="10" spans="1:10">
      <c r="A10" s="3" t="s">
        <v>6</v>
      </c>
      <c r="B10" s="7">
        <v>478032</v>
      </c>
      <c r="C10" s="8">
        <v>486264</v>
      </c>
    </row>
    <row r="11" spans="1:10">
      <c r="A11" s="3" t="s">
        <v>7</v>
      </c>
      <c r="B11" s="4">
        <v>45314686</v>
      </c>
      <c r="C11" s="5">
        <v>45987817</v>
      </c>
      <c r="H11" s="11"/>
      <c r="I11" s="11"/>
      <c r="J11" s="11"/>
    </row>
    <row r="12" spans="1:10">
      <c r="A12" s="6" t="s">
        <v>8</v>
      </c>
      <c r="B12" s="4">
        <v>20747458</v>
      </c>
      <c r="C12" s="5">
        <v>21691664</v>
      </c>
    </row>
    <row r="13" spans="1:10">
      <c r="A13" s="6" t="s">
        <v>9</v>
      </c>
      <c r="B13" s="4">
        <v>6010657</v>
      </c>
      <c r="C13" s="5">
        <v>6138907</v>
      </c>
    </row>
    <row r="14" spans="1:10">
      <c r="A14" s="3" t="s">
        <v>10</v>
      </c>
      <c r="B14" s="4">
        <v>36084554</v>
      </c>
      <c r="C14" s="5">
        <v>32321079</v>
      </c>
    </row>
  </sheetData>
  <mergeCells count="1">
    <mergeCell ref="H11:J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6700-A8FD-ED47-B420-BD3873F561B7}">
  <dimension ref="A1:C14"/>
  <sheetViews>
    <sheetView workbookViewId="0">
      <selection activeCell="A3" sqref="A3:A12"/>
    </sheetView>
  </sheetViews>
  <sheetFormatPr baseColWidth="10" defaultRowHeight="15"/>
  <cols>
    <col min="1" max="1" width="51.1640625" bestFit="1" customWidth="1"/>
    <col min="2" max="2" width="34.33203125" bestFit="1" customWidth="1"/>
    <col min="3" max="3" width="33.6640625" bestFit="1" customWidth="1"/>
  </cols>
  <sheetData>
    <row r="1" spans="1:3">
      <c r="A1" t="s">
        <v>30</v>
      </c>
      <c r="B1" t="s">
        <v>28</v>
      </c>
      <c r="C1" t="s">
        <v>29</v>
      </c>
    </row>
    <row r="2" spans="1:3">
      <c r="A2" s="3" t="s">
        <v>11</v>
      </c>
      <c r="B2" s="4">
        <v>2457273819</v>
      </c>
      <c r="C2" s="5">
        <v>2442859865</v>
      </c>
    </row>
    <row r="3" spans="1:3">
      <c r="A3" s="3" t="s">
        <v>12</v>
      </c>
      <c r="B3" s="4">
        <v>249082172</v>
      </c>
      <c r="C3" s="5">
        <v>221458781</v>
      </c>
    </row>
    <row r="4" spans="1:3">
      <c r="A4" s="3" t="s">
        <v>13</v>
      </c>
      <c r="B4" s="4">
        <v>16159506</v>
      </c>
      <c r="C4" s="5">
        <v>13005055</v>
      </c>
    </row>
    <row r="5" spans="1:3">
      <c r="A5" s="3" t="s">
        <v>14</v>
      </c>
      <c r="B5" s="4">
        <v>1973031</v>
      </c>
      <c r="C5" s="5">
        <v>1910818</v>
      </c>
    </row>
    <row r="6" spans="1:3">
      <c r="A6" s="3" t="s">
        <v>15</v>
      </c>
      <c r="B6" s="4">
        <v>54633399</v>
      </c>
      <c r="C6" s="5">
        <v>42952427</v>
      </c>
    </row>
    <row r="7" spans="1:3">
      <c r="A7" s="3" t="s">
        <v>16</v>
      </c>
      <c r="B7" s="4">
        <v>118866333</v>
      </c>
      <c r="C7" s="5">
        <v>109910607</v>
      </c>
    </row>
    <row r="8" spans="1:3">
      <c r="A8" s="3" t="s">
        <v>17</v>
      </c>
      <c r="B8" s="4">
        <v>18096585</v>
      </c>
      <c r="C8" s="5">
        <v>20125958</v>
      </c>
    </row>
    <row r="9" spans="1:3">
      <c r="A9" s="1" t="s">
        <v>18</v>
      </c>
      <c r="B9" s="4">
        <v>1176677</v>
      </c>
      <c r="C9" s="5">
        <v>991717</v>
      </c>
    </row>
    <row r="10" spans="1:3">
      <c r="A10" s="3" t="s">
        <v>19</v>
      </c>
      <c r="B10" s="4">
        <v>88553782</v>
      </c>
      <c r="C10" s="5">
        <v>101773387</v>
      </c>
    </row>
    <row r="11" spans="1:3">
      <c r="A11" s="2" t="s">
        <v>20</v>
      </c>
      <c r="B11" s="9">
        <f>SUM(B2:B10)</f>
        <v>3005815304</v>
      </c>
      <c r="C11" s="9">
        <f>SUM(C2:C10)</f>
        <v>2954988615</v>
      </c>
    </row>
    <row r="12" spans="1:3">
      <c r="A12" s="6"/>
      <c r="B12" s="4"/>
      <c r="C12" s="5"/>
    </row>
    <row r="13" spans="1:3">
      <c r="A13" s="6"/>
      <c r="B13" s="4"/>
      <c r="C13" s="5"/>
    </row>
    <row r="14" spans="1:3">
      <c r="A14" s="3"/>
      <c r="B14" s="4"/>
      <c r="C1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6411-EA41-E040-996D-973F72581C13}">
  <dimension ref="A1:C10"/>
  <sheetViews>
    <sheetView workbookViewId="0">
      <selection sqref="A1:C1"/>
    </sheetView>
  </sheetViews>
  <sheetFormatPr baseColWidth="10" defaultRowHeight="15"/>
  <cols>
    <col min="1" max="1" width="39.83203125" bestFit="1" customWidth="1"/>
    <col min="2" max="2" width="43.83203125" customWidth="1"/>
    <col min="3" max="3" width="49.5" customWidth="1"/>
  </cols>
  <sheetData>
    <row r="1" spans="1:3">
      <c r="A1" s="15" t="s">
        <v>21</v>
      </c>
      <c r="B1" s="15" t="s">
        <v>28</v>
      </c>
      <c r="C1" s="15" t="s">
        <v>29</v>
      </c>
    </row>
    <row r="2" spans="1:3">
      <c r="A2" s="14" t="s">
        <v>31</v>
      </c>
      <c r="B2" s="14" t="s">
        <v>33</v>
      </c>
      <c r="C2" s="14" t="s">
        <v>33</v>
      </c>
    </row>
    <row r="3" spans="1:3" ht="16" customHeight="1">
      <c r="A3" s="14" t="s">
        <v>32</v>
      </c>
      <c r="B3" s="14" t="s">
        <v>34</v>
      </c>
      <c r="C3" s="14" t="s">
        <v>35</v>
      </c>
    </row>
    <row r="4" spans="1:3">
      <c r="A4" s="14" t="s">
        <v>22</v>
      </c>
      <c r="B4" s="14">
        <v>11019190</v>
      </c>
      <c r="C4" s="14">
        <v>11019190</v>
      </c>
    </row>
    <row r="5" spans="1:3">
      <c r="A5" s="14" t="s">
        <v>23</v>
      </c>
      <c r="B5" s="14">
        <v>20425561</v>
      </c>
      <c r="C5" s="14">
        <v>20833387</v>
      </c>
    </row>
    <row r="6" spans="1:3">
      <c r="A6" s="14" t="s">
        <v>36</v>
      </c>
      <c r="B6" s="14">
        <v>3400000</v>
      </c>
      <c r="C6" s="14">
        <v>3400000</v>
      </c>
    </row>
    <row r="7" spans="1:3">
      <c r="A7" s="14" t="s">
        <v>37</v>
      </c>
      <c r="B7" s="14">
        <v>404255057</v>
      </c>
      <c r="C7" s="14">
        <v>409158569</v>
      </c>
    </row>
    <row r="8" spans="1:3">
      <c r="A8" s="14" t="s">
        <v>24</v>
      </c>
      <c r="B8" s="14">
        <v>472770881</v>
      </c>
      <c r="C8" s="14">
        <v>478082219</v>
      </c>
    </row>
    <row r="9" spans="1:3">
      <c r="A9" s="14" t="s">
        <v>25</v>
      </c>
      <c r="B9" s="14">
        <v>5727998</v>
      </c>
      <c r="C9" s="14">
        <v>5651096</v>
      </c>
    </row>
    <row r="10" spans="1:3">
      <c r="A10" s="14" t="s">
        <v>26</v>
      </c>
      <c r="B10" s="14">
        <v>478498879</v>
      </c>
      <c r="C10" s="14">
        <v>483733315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D730942011824349A5C3A6F71E5FD772" ma:contentTypeVersion="18" ma:contentTypeDescription="สร้างเอกสารใหม่" ma:contentTypeScope="" ma:versionID="27d67e7ae0220cf9455d4387abf6cf19">
  <xsd:schema xmlns:xsd="http://www.w3.org/2001/XMLSchema" xmlns:xs="http://www.w3.org/2001/XMLSchema" xmlns:p="http://schemas.microsoft.com/office/2006/metadata/properties" xmlns:ns2="35bb73a0-5733-4ae7-be4d-b16b7c96548b" xmlns:ns3="6ed96504-762f-4960-9e30-076e7a916c39" targetNamespace="http://schemas.microsoft.com/office/2006/metadata/properties" ma:root="true" ma:fieldsID="d2a2c5dd2e99133db8726a3007a27ff0" ns2:_="" ns3:_="">
    <xsd:import namespace="35bb73a0-5733-4ae7-be4d-b16b7c96548b"/>
    <xsd:import namespace="6ed96504-762f-4960-9e30-076e7a916c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bb73a0-5733-4ae7-be4d-b16b7c9654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แท็กรูป" ma:readOnly="false" ma:fieldId="{5cf76f15-5ced-4ddc-b409-7134ff3c332f}" ma:taxonomyMulti="true" ma:sspId="8ed748d9-e929-443b-8ee0-f34b567383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d96504-762f-4960-9e30-076e7a916c3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c927e60-ffe9-4423-a8dd-35ec2ef6d49a}" ma:internalName="TaxCatchAll" ma:showField="CatchAllData" ma:web="6ed96504-762f-4960-9e30-076e7a916c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d96504-762f-4960-9e30-076e7a916c39" xsi:nil="true"/>
    <lcf76f155ced4ddcb4097134ff3c332f xmlns="35bb73a0-5733-4ae7-be4d-b16b7c96548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631F4C-B41F-42EA-B282-5D24E2832D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DF10EC-E9FD-4B32-AA12-C102D70CE3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bb73a0-5733-4ae7-be4d-b16b7c96548b"/>
    <ds:schemaRef ds:uri="6ed96504-762f-4960-9e30-076e7a916c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870DF4-331F-4E6F-89A1-C81D7BA7119A}">
  <ds:schemaRefs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documentManagement/types"/>
    <ds:schemaRef ds:uri="6ed96504-762f-4960-9e30-076e7a916c39"/>
    <ds:schemaRef ds:uri="http://purl.org/dc/dcmitype/"/>
    <ds:schemaRef ds:uri="http://schemas.openxmlformats.org/package/2006/metadata/core-properties"/>
    <ds:schemaRef ds:uri="35bb73a0-5733-4ae7-be4d-b16b7c96548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</vt:lpstr>
      <vt:lpstr>liabilities</vt:lpstr>
      <vt:lpstr>shareholder_equity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CHAYAPAT TECHAMONTRIKUL</dc:creator>
  <cp:keywords/>
  <dc:description/>
  <cp:lastModifiedBy>Yang, Xiao Yu</cp:lastModifiedBy>
  <cp:revision/>
  <dcterms:created xsi:type="dcterms:W3CDTF">2015-06-05T18:17:20Z</dcterms:created>
  <dcterms:modified xsi:type="dcterms:W3CDTF">2024-10-11T07:28:15Z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0x0101001D32CB6DEAD3CC499B35EB60FA5F784E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b0d5c4f4-7a29-4385-b7a5-afbe2154ae6f_Enabled">
    <vt:lpwstr>true</vt:lpwstr>
  </property>
  <property fmtid="{D5CDD505-2E9C-101B-9397-08002B2CF9AE}" pid="7" name="MSIP_Label_b0d5c4f4-7a29-4385-b7a5-afbe2154ae6f_SetDate">
    <vt:lpwstr>2024-10-09T03:22:18Z</vt:lpwstr>
  </property>
  <property fmtid="{D5CDD505-2E9C-101B-9397-08002B2CF9AE}" pid="8" name="MSIP_Label_b0d5c4f4-7a29-4385-b7a5-afbe2154ae6f_Method">
    <vt:lpwstr>Standard</vt:lpwstr>
  </property>
  <property fmtid="{D5CDD505-2E9C-101B-9397-08002B2CF9AE}" pid="9" name="MSIP_Label_b0d5c4f4-7a29-4385-b7a5-afbe2154ae6f_Name">
    <vt:lpwstr>Confidential</vt:lpwstr>
  </property>
  <property fmtid="{D5CDD505-2E9C-101B-9397-08002B2CF9AE}" pid="10" name="MSIP_Label_b0d5c4f4-7a29-4385-b7a5-afbe2154ae6f_SiteId">
    <vt:lpwstr>2dfb2f0b-4d21-4268-9559-72926144c918</vt:lpwstr>
  </property>
  <property fmtid="{D5CDD505-2E9C-101B-9397-08002B2CF9AE}" pid="11" name="MSIP_Label_b0d5c4f4-7a29-4385-b7a5-afbe2154ae6f_ActionId">
    <vt:lpwstr>4cbe65c9-e747-4cb1-835a-9e43bc9dc6dd</vt:lpwstr>
  </property>
  <property fmtid="{D5CDD505-2E9C-101B-9397-08002B2CF9AE}" pid="12" name="MSIP_Label_b0d5c4f4-7a29-4385-b7a5-afbe2154ae6f_ContentBits">
    <vt:lpwstr>0</vt:lpwstr>
  </property>
</Properties>
</file>